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offshore\Dados para exemplo do modelo matemático\"/>
    </mc:Choice>
  </mc:AlternateContent>
  <xr:revisionPtr revIDLastSave="0" documentId="13_ncr:1_{644516EC-4AC2-4A21-83CF-F12B43D5D6BB}" xr6:coauthVersionLast="47" xr6:coauthVersionMax="47" xr10:uidLastSave="{00000000-0000-0000-0000-000000000000}"/>
  <bookViews>
    <workbookView xWindow="-120" yWindow="-120" windowWidth="29040" windowHeight="15720" activeTab="1" xr2:uid="{9A3BA84E-B24D-4FCF-B741-E484F9BD5D28}"/>
  </bookViews>
  <sheets>
    <sheet name="Dados Peniche" sheetId="1" r:id="rId1"/>
    <sheet name="Problema de Decisão Abstrato" sheetId="3" r:id="rId2"/>
  </sheets>
  <definedNames>
    <definedName name="a_alpha">'Problema de Decisão Abstrato'!$C$13</definedName>
    <definedName name="a_Ca">'Problema de Decisão Abstrato'!$C$14</definedName>
    <definedName name="a_Cs">'Problema de Decisão Abstrato'!$C$7</definedName>
    <definedName name="a_G">'Problema de Decisão Abstrato'!$C$15</definedName>
    <definedName name="a_I">'Problema de Decisão Abstrato'!$C$11</definedName>
    <definedName name="a_L">'Problema de Decisão Abstrato'!$C$12</definedName>
    <definedName name="a_LR">'Problema de Decisão Abstrato'!$C$6</definedName>
    <definedName name="a_P">'Problema de Decisão Abstrato'!$C$18</definedName>
    <definedName name="a_P_m1">'Problema de Decisão Abstrato'!$C$19</definedName>
    <definedName name="a_R">'Problema de Decisão Abstrato'!$C$5</definedName>
    <definedName name="alpha">#REF!</definedName>
    <definedName name="Ca">#REF!</definedName>
    <definedName name="Cs">#REF!</definedName>
    <definedName name="G1_">'Problema de Decisão Abstrato'!$C$27</definedName>
    <definedName name="G2_">'Problema de Decisão Abstrato'!$C$34</definedName>
    <definedName name="GA">#REF!</definedName>
    <definedName name="GAL">#REF!</definedName>
    <definedName name="GAW">#REF!</definedName>
    <definedName name="GC">#REF!</definedName>
    <definedName name="GCL">#REF!</definedName>
    <definedName name="GCW">#REF!</definedName>
    <definedName name="I">#REF!</definedName>
    <definedName name="L">#REF!</definedName>
    <definedName name="LR">#REF!</definedName>
    <definedName name="P">#REF!</definedName>
    <definedName name="R_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/>
  <c r="C43" i="3"/>
  <c r="C40" i="3"/>
  <c r="C39" i="3"/>
  <c r="J13" i="3"/>
  <c r="C8" i="3"/>
  <c r="C23" i="3"/>
  <c r="C25" i="3" s="1"/>
  <c r="C31" i="3"/>
  <c r="C33" i="3" s="1"/>
  <c r="C30" i="3"/>
  <c r="C24" i="3"/>
  <c r="M14" i="3"/>
  <c r="G8" i="3" a="1"/>
  <c r="G8" i="3" s="1"/>
  <c r="K13" i="3"/>
  <c r="K48" i="3"/>
  <c r="K41" i="3"/>
  <c r="Q40" i="3" s="1"/>
  <c r="K14" i="3"/>
  <c r="M48" i="3"/>
  <c r="K47" i="3"/>
  <c r="J47" i="3"/>
  <c r="M41" i="3"/>
  <c r="Q41" i="3" s="1"/>
  <c r="K40" i="3"/>
  <c r="J40" i="3"/>
  <c r="C19" i="3"/>
  <c r="C26" i="3" s="1"/>
  <c r="C32" i="3" l="1"/>
  <c r="C34" i="3" s="1"/>
  <c r="C27" i="3"/>
  <c r="L13" i="3" s="1"/>
  <c r="M40" i="3"/>
  <c r="L40" i="3"/>
  <c r="Q38" i="3"/>
  <c r="L47" i="3"/>
  <c r="Q46" i="3" s="1"/>
  <c r="M13" i="3" l="1"/>
  <c r="M47" i="3"/>
  <c r="R46" i="3" s="1"/>
  <c r="T48" i="3" s="1"/>
  <c r="Q39" i="3"/>
  <c r="R39" i="3" s="1"/>
  <c r="Q45" i="3"/>
  <c r="T46" i="3" l="1"/>
  <c r="R45" i="3"/>
  <c r="T47" i="3" s="1"/>
  <c r="R38" i="3"/>
  <c r="R41" i="3"/>
  <c r="R40" i="3"/>
  <c r="T45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<sst xmlns="http://schemas.openxmlformats.org/spreadsheetml/2006/main" count="238" uniqueCount="137">
  <si>
    <t>Capacidade de aojamento nos estabelecimentos hoteleiros</t>
  </si>
  <si>
    <t>População</t>
  </si>
  <si>
    <t>Maiores Empregadores</t>
  </si>
  <si>
    <t>Conservas</t>
  </si>
  <si>
    <t>Pesca</t>
  </si>
  <si>
    <t>Comércio varejo</t>
  </si>
  <si>
    <t>Agricultura</t>
  </si>
  <si>
    <t>Apoio Social</t>
  </si>
  <si>
    <t>Construção</t>
  </si>
  <si>
    <t xml:space="preserve">Congelados </t>
  </si>
  <si>
    <t>Comércio atacado pesca</t>
  </si>
  <si>
    <t>Comércio atado agrícolo (menos batata)</t>
  </si>
  <si>
    <t>Cafés</t>
  </si>
  <si>
    <t>Formação Profissional</t>
  </si>
  <si>
    <t>Preparação de produtos de pesca</t>
  </si>
  <si>
    <t>Fabricação de Embalagens</t>
  </si>
  <si>
    <t>Hotéis com restaurante</t>
  </si>
  <si>
    <t>Trabalhadores Setor Terciário</t>
  </si>
  <si>
    <t>Trabalhadores Setor Secundário</t>
  </si>
  <si>
    <t>Trabalhadores Setor Primário</t>
  </si>
  <si>
    <t>Ganho médio mensal no setor primário</t>
  </si>
  <si>
    <t>Ganho médio mensal no setor secundário</t>
  </si>
  <si>
    <t>Ganho médio mensal no setor terciário</t>
  </si>
  <si>
    <t>Nights (No.) in tourist accommodation establishments by Geographic localization (NUTS -
2013) and Type (tourist accommodation establishment)</t>
  </si>
  <si>
    <t>Guests (No.) in tourist accommodation establishments by Geographic localization (NUTS -
2013) and Type (tourist accommodation establishment)</t>
  </si>
  <si>
    <t>Total incomes (€) in tourist accommodation establishments by Geographic localization and
Type (tourist accommodation establishment)</t>
  </si>
  <si>
    <t>Número de estabelecimentos de alojamento turístico</t>
  </si>
  <si>
    <t>Fonte</t>
  </si>
  <si>
    <t>Neves Pedro - INE</t>
  </si>
  <si>
    <t>Neves Pedro (INE - 2014/2015)</t>
  </si>
  <si>
    <t>Sinteses Estatísticasa - GAGebinete de Estratégia e Estudos - Minist´rio da Economia e Mar</t>
  </si>
  <si>
    <t>R</t>
  </si>
  <si>
    <t>Implementa</t>
  </si>
  <si>
    <t>Desiste</t>
  </si>
  <si>
    <t>Aceita</t>
  </si>
  <si>
    <t>Luta</t>
  </si>
  <si>
    <t>0,I-alphaCa</t>
  </si>
  <si>
    <t>I</t>
  </si>
  <si>
    <t>L</t>
  </si>
  <si>
    <t>G1</t>
  </si>
  <si>
    <t>G2</t>
  </si>
  <si>
    <t>alpha</t>
  </si>
  <si>
    <t>Ca</t>
  </si>
  <si>
    <t>Resultado em caso de Implementar com Luta</t>
  </si>
  <si>
    <t xml:space="preserve">Resultado em caso de Lutar </t>
  </si>
  <si>
    <t>P</t>
  </si>
  <si>
    <t>Probabilidade de Offshore ganhar o processo</t>
  </si>
  <si>
    <t>G1V</t>
  </si>
  <si>
    <t>G1D</t>
  </si>
  <si>
    <t>G2V</t>
  </si>
  <si>
    <t>G2D</t>
  </si>
  <si>
    <t>Cs</t>
  </si>
  <si>
    <t>LR</t>
  </si>
  <si>
    <t>Opositores</t>
  </si>
  <si>
    <t>Pro</t>
  </si>
  <si>
    <t>Contra</t>
  </si>
  <si>
    <t>Problema de Decisão Abstrato</t>
  </si>
  <si>
    <t>Analisar a ordem de grandeza</t>
  </si>
  <si>
    <t>(1-P)</t>
  </si>
  <si>
    <t>Probabilidade de Opositor ganhar o processo</t>
  </si>
  <si>
    <t>I-L</t>
  </si>
  <si>
    <t>Máximo de Pareto</t>
  </si>
  <si>
    <t>Equilíbrio de Nash</t>
  </si>
  <si>
    <t>Melhor Off</t>
  </si>
  <si>
    <t>Lin/Col</t>
  </si>
  <si>
    <t>Melhor Op</t>
  </si>
  <si>
    <t>Cell</t>
  </si>
  <si>
    <t>Cells</t>
  </si>
  <si>
    <t>2.13</t>
  </si>
  <si>
    <t>2.14</t>
  </si>
  <si>
    <t>R&gt;0</t>
  </si>
  <si>
    <t>Primeira casa é um equilíbrio de Nash</t>
  </si>
  <si>
    <t>Segunda casa é um equilíbrio de Nash</t>
  </si>
  <si>
    <t>2.17</t>
  </si>
  <si>
    <t>2.18</t>
  </si>
  <si>
    <t>R-LR&gt;2*Cs</t>
  </si>
  <si>
    <t>2Ca&lt;L+LR</t>
  </si>
  <si>
    <t>L+LR&gt;2*Ca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</si>
  <si>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</si>
  <si>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</si>
  <si>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</si>
  <si>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</si>
  <si>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</si>
  <si>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</si>
  <si>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</si>
  <si>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</si>
  <si>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</si>
  <si>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Índice</t>
  </si>
  <si>
    <t>Compensação  paga para surfe para fazer offshore</t>
  </si>
  <si>
    <t>Restaurantes</t>
  </si>
  <si>
    <t>G</t>
  </si>
  <si>
    <t>Entrada</t>
  </si>
  <si>
    <t>Fator de redução nos custos de luta do opositor se a offshore desiste</t>
  </si>
  <si>
    <t>Tipo</t>
  </si>
  <si>
    <t>Importância</t>
  </si>
  <si>
    <t>Alta</t>
  </si>
  <si>
    <t>Baixa</t>
  </si>
  <si>
    <t>Calculado</t>
  </si>
  <si>
    <t>Offshore</t>
  </si>
  <si>
    <t>Surfe</t>
  </si>
  <si>
    <t>Gerais</t>
  </si>
  <si>
    <t>Ganhos da Offshore se Offshore ganhar</t>
  </si>
  <si>
    <t>Ganhos (negativos) da Offshore se ela perder</t>
  </si>
  <si>
    <t>-G</t>
  </si>
  <si>
    <t>Compensação paga ao surfe</t>
  </si>
  <si>
    <t>Calculada</t>
  </si>
  <si>
    <t>?</t>
  </si>
  <si>
    <t>Fórmula</t>
  </si>
  <si>
    <t>Em caso de oposição, resultados da offshore</t>
  </si>
  <si>
    <t>Em caso de oposição, resultados do opositor</t>
  </si>
  <si>
    <t>Ganhos do opositor, se o opositor ganhar</t>
  </si>
  <si>
    <t>G1VP</t>
  </si>
  <si>
    <t>G1DP</t>
  </si>
  <si>
    <t>Probabilidade de ganhar X Ganhos da Offshore se Offshore ganhar</t>
  </si>
  <si>
    <t>Probabilidade de perder X Ganhos (negativos) da Offshore se ela perder</t>
  </si>
  <si>
    <t>Média</t>
  </si>
  <si>
    <t>G2VP</t>
  </si>
  <si>
    <t>G2DP</t>
  </si>
  <si>
    <t>P*G1V</t>
  </si>
  <si>
    <t>(1-P)*G1D</t>
  </si>
  <si>
    <t>P*G2V</t>
  </si>
  <si>
    <t>(1-P)*G2D</t>
  </si>
  <si>
    <t>I-Ca</t>
  </si>
  <si>
    <t>I+G-L-Ca</t>
  </si>
  <si>
    <t>Ganhos do opositor, se o opositor perder</t>
  </si>
  <si>
    <t>Probabilidade de ganhar X Ganhos do opositor, se o opositor ganhar</t>
  </si>
  <si>
    <t>Probabilidade de perder X Ganhos do opositor, se o opositor perder</t>
  </si>
  <si>
    <t>Perdas no projeto da offshore se perder ou ganhar</t>
  </si>
  <si>
    <t>R-LR-Cs-G</t>
  </si>
  <si>
    <t>1-P</t>
  </si>
  <si>
    <t>Resultados</t>
  </si>
  <si>
    <t>Retorno esperado do projeto offshore (result)</t>
  </si>
  <si>
    <t>Renda atual turismo/surfe (income)</t>
  </si>
  <si>
    <t>Perdas no turismo/surfe com a entrada do offshore (loss)</t>
  </si>
  <si>
    <t>Custo de Lutar/Opositor (cost of action)</t>
  </si>
  <si>
    <t>Custo de Lutar para a offshore (cost to support entry)</t>
  </si>
  <si>
    <t>Olhar a equação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</si>
</sst>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[$€-2]\ * #,##0.00_-;\-[$€-2]\ * #,##0.00_-;_-[$€-2]\ * &quot;-&quot;??_-;_-@_-"/>
    <numFmt numFmtId="166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5" fillId="2" borderId="7" applyNumberFormat="0" applyAlignment="0" applyProtection="0"/>
    <xf numFmtId="0" fontId="6" fillId="3" borderId="8" applyNumberFormat="0" applyAlignment="0" applyProtection="0"/>
    <xf numFmtId="0" fontId="4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0" borderId="0" applyNumberFormat="0" applyFill="0" applyBorder="0" applyAlignment="0" applyProtection="0"/>
  </cellStyleXfs>
  <cellXfs count="44">
    <xf numFmtId="0" fontId="0" fillId="0" borderId="0" xfId="0"/>
    <xf numFmtId="165" fontId="0" fillId="0" borderId="0" xfId="0" applyNumberFormat="1"/>
    <xf numFmtId="0" fontId="2" fillId="0" borderId="0" xfId="0" applyFont="1"/>
    <xf numFmtId="166" fontId="0" fillId="0" borderId="0" xfId="1" applyNumberFormat="1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2" borderId="7" xfId="2"/>
    <xf numFmtId="0" fontId="6" fillId="3" borderId="8" xfId="3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5" fontId="0" fillId="0" borderId="0" xfId="1" applyNumberFormat="1" applyFont="1"/>
    <xf numFmtId="0" fontId="4" fillId="4" borderId="0" xfId="4"/>
    <xf numFmtId="0" fontId="8" fillId="6" borderId="0" xfId="6"/>
    <xf numFmtId="0" fontId="7" fillId="5" borderId="0" xfId="5"/>
    <xf numFmtId="0" fontId="3" fillId="0" borderId="0" xfId="0" applyFont="1" applyAlignment="1">
      <alignment horizontal="center"/>
    </xf>
    <xf numFmtId="0" fontId="10" fillId="0" borderId="0" xfId="0" applyFont="1"/>
    <xf numFmtId="0" fontId="3" fillId="0" borderId="0" xfId="0" quotePrefix="1" applyFont="1"/>
    <xf numFmtId="0" fontId="9" fillId="3" borderId="8" xfId="7" applyFill="1" applyBorder="1"/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  <xf numFmtId="0" fontId="10" fillId="7" borderId="1" xfId="0" applyFont="1" applyFill="1" applyBorder="1"/>
    <xf numFmtId="0" fontId="10" fillId="7" borderId="5" xfId="0" applyFont="1" applyFill="1" applyBorder="1"/>
    <xf numFmtId="0" fontId="10" fillId="7" borderId="0" xfId="0" applyFont="1" applyFill="1"/>
    <xf numFmtId="0" fontId="10" fillId="7" borderId="3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7" borderId="6" xfId="0" applyFont="1" applyFill="1" applyBorder="1"/>
    <xf numFmtId="0" fontId="11" fillId="7" borderId="1" xfId="0" applyFont="1" applyFill="1" applyBorder="1"/>
    <xf numFmtId="0" fontId="11" fillId="7" borderId="2" xfId="0" applyFont="1" applyFill="1" applyBorder="1"/>
    <xf numFmtId="0" fontId="10" fillId="7" borderId="0" xfId="0" applyFont="1" applyFill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0" fillId="7" borderId="3" xfId="0" applyFont="1" applyFill="1" applyBorder="1" applyAlignment="1">
      <alignment horizontal="center"/>
    </xf>
    <xf numFmtId="0" fontId="10" fillId="7" borderId="4" xfId="0" applyFont="1" applyFill="1" applyBorder="1" applyAlignment="1">
      <alignment horizontal="center"/>
    </xf>
  </cellXfs>
  <cellStyles count="8">
    <cellStyle name="Bad" xfId="6" builtinId="27"/>
    <cellStyle name="Comma" xfId="1" builtinId="3"/>
    <cellStyle name="Good" xfId="5" builtinId="26"/>
    <cellStyle name="Input" xfId="2" builtinId="20"/>
    <cellStyle name="Neutral" xfId="4" builtinId="28"/>
    <cellStyle name="Normal" xfId="0" builtinId="0"/>
    <cellStyle name="Output" xfId="3" builtinId="21"/>
    <cellStyle name="Warning Text" xfId="7" builtinId="11"/>
  </cellStyles>
  <dxfs count="18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numFmt numFmtId="165" formatCode="_-[$€-2]\ * #,##0.00_-;\-[$€-2]\ * #,##0.00_-;_-[$€-2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58F5BC-9954-4FA0-9B81-71BF6DAE7C2D}" name="Table2" displayName="Table2" ref="A3:J16" totalsRowShown="0" headerRowDxfId="17">
  <autoFilter ref="A3:J16" xr:uid="{8658F5BC-9954-4FA0-9B81-71BF6DAE7C2D}"/>
  <tableColumns count="10">
    <tableColumn id="1" xr3:uid="{B9C5DB64-6750-43AB-9403-6409E05D871E}" name="Índice" dataDxfId="16"/>
    <tableColumn id="2" xr3:uid="{76DAE31C-99A7-485B-8D53-7251B2043789}" name="2014" dataDxfId="15"/>
    <tableColumn id="3" xr3:uid="{F2BA42A9-FFB2-4AA9-B3D0-6621AF3C0427}" name="2015" dataDxfId="14"/>
    <tableColumn id="4" xr3:uid="{41AE0716-4FBC-4329-A00B-BA9A47F9AD51}" name="2016" dataDxfId="13"/>
    <tableColumn id="5" xr3:uid="{77F452F8-335A-4D97-9635-6DEE699E5D45}" name="2017" dataDxfId="12"/>
    <tableColumn id="6" xr3:uid="{C424AB5E-63B5-4EC3-A2C5-2F70824B466C}" name="2018" dataDxfId="11"/>
    <tableColumn id="7" xr3:uid="{87F6B76A-78A2-4696-B90D-DCE83E2D39BA}" name="2019" dataDxfId="10"/>
    <tableColumn id="8" xr3:uid="{0900A32F-BD87-4486-935D-A839992142E0}" name="2020" dataDxfId="9"/>
    <tableColumn id="9" xr3:uid="{FF2E3A52-0510-4667-B2A5-402E77B9B291}" name="2021" dataDxfId="8"/>
    <tableColumn id="10" xr3:uid="{CE5CAA80-DB6C-43A3-B302-2209F2663C43}" name="2022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7972-8906-4954-A7D2-AB9DBDC0F04A}">
  <dimension ref="A3:M37"/>
  <sheetViews>
    <sheetView topLeftCell="A16" zoomScale="145" zoomScaleNormal="145" workbookViewId="0">
      <selection activeCell="C23" sqref="C23"/>
    </sheetView>
  </sheetViews>
  <sheetFormatPr defaultRowHeight="15" x14ac:dyDescent="0.25"/>
  <cols>
    <col min="1" max="1" width="55" bestFit="1" customWidth="1"/>
    <col min="2" max="2" width="7.5703125" bestFit="1" customWidth="1"/>
    <col min="3" max="3" width="10" bestFit="1" customWidth="1"/>
    <col min="4" max="5" width="15.5703125" bestFit="1" customWidth="1"/>
    <col min="6" max="7" width="16.7109375" bestFit="1" customWidth="1"/>
    <col min="8" max="9" width="15.5703125" bestFit="1" customWidth="1"/>
    <col min="10" max="10" width="16.7109375" bestFit="1" customWidth="1"/>
    <col min="12" max="12" width="27.7109375" bestFit="1" customWidth="1"/>
  </cols>
  <sheetData>
    <row r="3" spans="1:13" x14ac:dyDescent="0.25">
      <c r="A3" t="s">
        <v>87</v>
      </c>
      <c r="B3" s="2" t="s">
        <v>78</v>
      </c>
      <c r="C3" s="2" t="s">
        <v>79</v>
      </c>
      <c r="D3" s="2" t="s">
        <v>80</v>
      </c>
      <c r="E3" s="2" t="s">
        <v>81</v>
      </c>
      <c r="F3" s="2" t="s">
        <v>82</v>
      </c>
      <c r="G3" s="2" t="s">
        <v>83</v>
      </c>
      <c r="H3" s="2" t="s">
        <v>84</v>
      </c>
      <c r="I3" s="2" t="s">
        <v>85</v>
      </c>
      <c r="J3" s="2" t="s">
        <v>86</v>
      </c>
      <c r="L3" t="s">
        <v>27</v>
      </c>
      <c r="M3" t="s">
        <v>27</v>
      </c>
    </row>
    <row r="4" spans="1:13" x14ac:dyDescent="0.25">
      <c r="A4" s="2" t="s">
        <v>26</v>
      </c>
      <c r="B4" s="2"/>
      <c r="C4" s="2"/>
      <c r="D4" s="2"/>
      <c r="E4" s="2"/>
      <c r="F4">
        <v>21</v>
      </c>
      <c r="G4" s="2"/>
      <c r="H4" s="2"/>
      <c r="I4" s="2"/>
      <c r="J4" s="2"/>
      <c r="L4" t="s">
        <v>28</v>
      </c>
      <c r="M4" t="s">
        <v>30</v>
      </c>
    </row>
    <row r="5" spans="1:13" x14ac:dyDescent="0.25">
      <c r="A5" s="2" t="s">
        <v>0</v>
      </c>
      <c r="B5" s="3">
        <v>1030</v>
      </c>
      <c r="C5" s="3">
        <v>1359</v>
      </c>
      <c r="D5" s="3">
        <v>1616</v>
      </c>
      <c r="E5" s="3">
        <v>1774</v>
      </c>
      <c r="F5" s="3">
        <v>1995</v>
      </c>
      <c r="G5" s="3">
        <v>2205</v>
      </c>
      <c r="H5" s="3">
        <v>1560</v>
      </c>
      <c r="I5" s="3">
        <v>1979</v>
      </c>
      <c r="L5" t="s">
        <v>29</v>
      </c>
      <c r="M5" t="s">
        <v>30</v>
      </c>
    </row>
    <row r="6" spans="1:13" ht="45" x14ac:dyDescent="0.25">
      <c r="A6" s="4" t="s">
        <v>23</v>
      </c>
      <c r="B6" s="3"/>
      <c r="C6" s="3"/>
      <c r="D6" s="3">
        <v>177898</v>
      </c>
      <c r="E6" s="3">
        <v>185158</v>
      </c>
      <c r="F6" s="3">
        <v>192608</v>
      </c>
      <c r="G6" s="3">
        <v>217910</v>
      </c>
      <c r="H6" s="3">
        <v>110202</v>
      </c>
      <c r="I6" s="3">
        <v>148084</v>
      </c>
      <c r="J6" s="3">
        <v>238388</v>
      </c>
      <c r="M6" t="s">
        <v>30</v>
      </c>
    </row>
    <row r="7" spans="1:13" ht="45" x14ac:dyDescent="0.25">
      <c r="A7" s="4" t="s">
        <v>24</v>
      </c>
      <c r="B7" s="3"/>
      <c r="C7" s="3"/>
      <c r="D7" s="3">
        <v>86633</v>
      </c>
      <c r="E7" s="3">
        <v>86414</v>
      </c>
      <c r="F7" s="3">
        <v>94026</v>
      </c>
      <c r="G7" s="3">
        <v>102566</v>
      </c>
      <c r="H7" s="3">
        <v>52816</v>
      </c>
      <c r="I7" s="3">
        <v>68257</v>
      </c>
      <c r="J7" s="3">
        <v>109809</v>
      </c>
      <c r="M7" t="s">
        <v>30</v>
      </c>
    </row>
    <row r="8" spans="1:13" ht="45" x14ac:dyDescent="0.25">
      <c r="A8" s="4" t="s">
        <v>25</v>
      </c>
      <c r="B8" s="18"/>
      <c r="C8" s="18"/>
      <c r="D8" s="18">
        <v>8145000</v>
      </c>
      <c r="E8" s="18">
        <v>8859000</v>
      </c>
      <c r="F8" s="18">
        <v>11573000</v>
      </c>
      <c r="G8" s="18">
        <v>12474000</v>
      </c>
      <c r="H8" s="18">
        <v>6106000</v>
      </c>
      <c r="I8" s="18">
        <v>7183000</v>
      </c>
      <c r="J8" s="18">
        <v>13638000</v>
      </c>
      <c r="M8" t="s">
        <v>30</v>
      </c>
    </row>
    <row r="9" spans="1:13" x14ac:dyDescent="0.25">
      <c r="A9" s="4"/>
      <c r="B9" s="3"/>
      <c r="C9" s="3"/>
      <c r="D9" s="3"/>
      <c r="E9" s="3"/>
      <c r="F9" s="3"/>
      <c r="G9" s="3"/>
      <c r="H9" s="3"/>
      <c r="I9" s="3"/>
    </row>
    <row r="10" spans="1:13" x14ac:dyDescent="0.25">
      <c r="A10" s="2" t="s">
        <v>1</v>
      </c>
      <c r="B10" s="3"/>
      <c r="C10" s="3"/>
      <c r="D10" s="3">
        <v>26777</v>
      </c>
      <c r="E10" s="3">
        <v>26641</v>
      </c>
      <c r="F10" s="3">
        <v>26510</v>
      </c>
      <c r="G10" s="3">
        <v>26515</v>
      </c>
      <c r="H10" s="3">
        <v>26588</v>
      </c>
      <c r="I10" s="3">
        <v>25849</v>
      </c>
      <c r="M10" t="s">
        <v>30</v>
      </c>
    </row>
    <row r="11" spans="1:13" x14ac:dyDescent="0.25">
      <c r="A11" s="2" t="s">
        <v>17</v>
      </c>
      <c r="B11" s="3"/>
      <c r="C11" s="3">
        <v>2353</v>
      </c>
      <c r="D11" s="3">
        <v>2468</v>
      </c>
      <c r="E11" s="3">
        <v>2628</v>
      </c>
      <c r="F11" s="3">
        <v>2675</v>
      </c>
      <c r="G11" s="3">
        <v>2659</v>
      </c>
      <c r="H11" s="3">
        <v>2573</v>
      </c>
      <c r="I11" s="3"/>
      <c r="M11" t="s">
        <v>30</v>
      </c>
    </row>
    <row r="12" spans="1:13" x14ac:dyDescent="0.25">
      <c r="A12" s="2" t="s">
        <v>18</v>
      </c>
      <c r="B12" s="3"/>
      <c r="C12" s="3">
        <v>1165</v>
      </c>
      <c r="D12" s="3">
        <v>1218</v>
      </c>
      <c r="E12" s="3">
        <v>1287</v>
      </c>
      <c r="F12" s="3">
        <v>1209</v>
      </c>
      <c r="G12" s="3">
        <v>1264</v>
      </c>
      <c r="H12" s="3">
        <v>1212</v>
      </c>
      <c r="I12" s="3"/>
      <c r="M12" t="s">
        <v>30</v>
      </c>
    </row>
    <row r="13" spans="1:13" x14ac:dyDescent="0.25">
      <c r="A13" s="2" t="s">
        <v>19</v>
      </c>
      <c r="B13" s="3"/>
      <c r="C13" s="3">
        <v>351</v>
      </c>
      <c r="D13" s="3">
        <v>410</v>
      </c>
      <c r="E13" s="3">
        <v>434</v>
      </c>
      <c r="F13" s="3">
        <v>388</v>
      </c>
      <c r="G13" s="3">
        <v>471</v>
      </c>
      <c r="H13" s="3">
        <v>468</v>
      </c>
      <c r="I13" s="3"/>
      <c r="M13" t="s">
        <v>30</v>
      </c>
    </row>
    <row r="14" spans="1:13" x14ac:dyDescent="0.25">
      <c r="A14" s="2" t="s">
        <v>20</v>
      </c>
      <c r="B14" s="1"/>
      <c r="C14" s="1">
        <v>927.2</v>
      </c>
      <c r="D14" s="1">
        <v>908.5</v>
      </c>
      <c r="E14" s="1">
        <v>1144.5</v>
      </c>
      <c r="F14" s="1">
        <v>970.3</v>
      </c>
      <c r="G14" s="1">
        <v>1183</v>
      </c>
      <c r="H14" s="1">
        <v>1145.3</v>
      </c>
      <c r="I14" s="1">
        <v>1351.1</v>
      </c>
      <c r="M14" t="s">
        <v>30</v>
      </c>
    </row>
    <row r="15" spans="1:13" x14ac:dyDescent="0.25">
      <c r="A15" s="2" t="s">
        <v>21</v>
      </c>
      <c r="B15" s="1"/>
      <c r="C15" s="1">
        <v>841.4</v>
      </c>
      <c r="D15" s="1">
        <v>880.4</v>
      </c>
      <c r="E15" s="1">
        <v>929.4</v>
      </c>
      <c r="F15" s="1">
        <v>914.8</v>
      </c>
      <c r="G15" s="1">
        <v>975.5</v>
      </c>
      <c r="H15" s="1">
        <v>1022.4</v>
      </c>
      <c r="I15" s="1">
        <v>1040</v>
      </c>
      <c r="M15" t="s">
        <v>30</v>
      </c>
    </row>
    <row r="16" spans="1:13" x14ac:dyDescent="0.25">
      <c r="A16" s="2" t="s">
        <v>22</v>
      </c>
      <c r="B16" s="1"/>
      <c r="C16" s="1">
        <v>835</v>
      </c>
      <c r="D16" s="1">
        <v>831.1</v>
      </c>
      <c r="E16" s="1">
        <v>856.6</v>
      </c>
      <c r="F16" s="1">
        <v>889.8</v>
      </c>
      <c r="G16" s="1">
        <v>905.2</v>
      </c>
      <c r="H16" s="1">
        <v>955</v>
      </c>
      <c r="I16" s="1">
        <v>998.2</v>
      </c>
      <c r="M16" t="s">
        <v>30</v>
      </c>
    </row>
    <row r="17" spans="1:13" x14ac:dyDescent="0.25">
      <c r="M17" t="s">
        <v>30</v>
      </c>
    </row>
    <row r="22" spans="1:13" x14ac:dyDescent="0.25">
      <c r="A22" t="s">
        <v>2</v>
      </c>
      <c r="B22">
        <v>2021</v>
      </c>
    </row>
    <row r="23" spans="1:13" x14ac:dyDescent="0.25">
      <c r="A23" t="s">
        <v>3</v>
      </c>
      <c r="B23">
        <v>1</v>
      </c>
      <c r="M23" t="s">
        <v>30</v>
      </c>
    </row>
    <row r="24" spans="1:13" x14ac:dyDescent="0.25">
      <c r="A24" s="20" t="s">
        <v>4</v>
      </c>
      <c r="B24" s="20">
        <v>2</v>
      </c>
      <c r="M24" t="s">
        <v>30</v>
      </c>
    </row>
    <row r="25" spans="1:13" x14ac:dyDescent="0.25">
      <c r="A25" t="s">
        <v>5</v>
      </c>
      <c r="B25">
        <v>3</v>
      </c>
      <c r="M25" t="s">
        <v>30</v>
      </c>
    </row>
    <row r="26" spans="1:13" x14ac:dyDescent="0.25">
      <c r="A26" t="s">
        <v>6</v>
      </c>
      <c r="B26">
        <v>4</v>
      </c>
      <c r="M26" t="s">
        <v>30</v>
      </c>
    </row>
    <row r="27" spans="1:13" x14ac:dyDescent="0.25">
      <c r="A27" t="s">
        <v>7</v>
      </c>
      <c r="B27">
        <v>5</v>
      </c>
      <c r="M27" t="s">
        <v>30</v>
      </c>
    </row>
    <row r="28" spans="1:13" x14ac:dyDescent="0.25">
      <c r="A28" s="19" t="s">
        <v>89</v>
      </c>
      <c r="B28" s="19">
        <v>6</v>
      </c>
      <c r="M28" t="s">
        <v>30</v>
      </c>
    </row>
    <row r="29" spans="1:13" x14ac:dyDescent="0.25">
      <c r="A29" t="s">
        <v>8</v>
      </c>
      <c r="B29">
        <v>7</v>
      </c>
      <c r="M29" t="s">
        <v>30</v>
      </c>
    </row>
    <row r="30" spans="1:13" x14ac:dyDescent="0.25">
      <c r="A30" s="20" t="s">
        <v>10</v>
      </c>
      <c r="B30" s="20">
        <v>8</v>
      </c>
      <c r="M30" t="s">
        <v>30</v>
      </c>
    </row>
    <row r="31" spans="1:13" x14ac:dyDescent="0.25">
      <c r="A31" s="21" t="s">
        <v>9</v>
      </c>
      <c r="B31" s="21">
        <v>9</v>
      </c>
      <c r="M31" t="s">
        <v>30</v>
      </c>
    </row>
    <row r="32" spans="1:13" x14ac:dyDescent="0.25">
      <c r="A32" t="s">
        <v>11</v>
      </c>
      <c r="B32">
        <v>10</v>
      </c>
      <c r="M32" t="s">
        <v>30</v>
      </c>
    </row>
    <row r="33" spans="1:13" x14ac:dyDescent="0.25">
      <c r="A33" s="19" t="s">
        <v>12</v>
      </c>
      <c r="B33" s="19">
        <v>11</v>
      </c>
      <c r="M33" t="s">
        <v>30</v>
      </c>
    </row>
    <row r="34" spans="1:13" x14ac:dyDescent="0.25">
      <c r="A34" t="s">
        <v>13</v>
      </c>
      <c r="B34">
        <v>12</v>
      </c>
      <c r="M34" t="s">
        <v>30</v>
      </c>
    </row>
    <row r="35" spans="1:13" x14ac:dyDescent="0.25">
      <c r="A35" s="20" t="s">
        <v>14</v>
      </c>
      <c r="B35" s="20">
        <v>13</v>
      </c>
      <c r="M35" t="s">
        <v>30</v>
      </c>
    </row>
    <row r="36" spans="1:13" x14ac:dyDescent="0.25">
      <c r="A36" t="s">
        <v>15</v>
      </c>
      <c r="B36">
        <v>14</v>
      </c>
      <c r="M36" t="s">
        <v>30</v>
      </c>
    </row>
    <row r="37" spans="1:13" x14ac:dyDescent="0.25">
      <c r="A37" s="19" t="s">
        <v>16</v>
      </c>
      <c r="B37" s="19">
        <v>15</v>
      </c>
      <c r="M37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363F-3CE8-4FD6-BDBD-C14C376F37CF}">
  <dimension ref="A1:T48"/>
  <sheetViews>
    <sheetView tabSelected="1" zoomScale="130" zoomScaleNormal="130" workbookViewId="0">
      <selection activeCell="C12" sqref="C12"/>
    </sheetView>
  </sheetViews>
  <sheetFormatPr defaultRowHeight="15.75" x14ac:dyDescent="0.25"/>
  <cols>
    <col min="1" max="1" width="9.140625" style="5"/>
    <col min="2" max="2" width="8.85546875" style="5" bestFit="1" customWidth="1"/>
    <col min="3" max="3" width="8.42578125" style="5" customWidth="1"/>
    <col min="4" max="4" width="61.28515625" style="5" customWidth="1"/>
    <col min="5" max="5" width="18.140625" style="5" customWidth="1"/>
    <col min="6" max="6" width="12.28515625" style="5" bestFit="1" customWidth="1"/>
    <col min="7" max="8" width="9.140625" style="5"/>
    <col min="9" max="9" width="18" style="5" bestFit="1" customWidth="1"/>
    <col min="10" max="10" width="9.42578125" style="5" bestFit="1" customWidth="1"/>
    <col min="11" max="11" width="7.28515625" style="5" bestFit="1" customWidth="1"/>
    <col min="12" max="12" width="9.42578125" style="5" bestFit="1" customWidth="1"/>
    <col min="13" max="13" width="11.7109375" style="5" bestFit="1" customWidth="1"/>
    <col min="14" max="16" width="9.140625" style="5"/>
    <col min="17" max="18" width="10.5703125" style="5" bestFit="1" customWidth="1"/>
    <col min="19" max="16384" width="9.140625" style="5"/>
  </cols>
  <sheetData>
    <row r="1" spans="1:13" x14ac:dyDescent="0.25">
      <c r="A1" s="23" t="s">
        <v>56</v>
      </c>
      <c r="D1" s="5" t="s">
        <v>57</v>
      </c>
    </row>
    <row r="4" spans="1:13" x14ac:dyDescent="0.25">
      <c r="B4" s="23" t="s">
        <v>98</v>
      </c>
      <c r="E4" s="5" t="s">
        <v>93</v>
      </c>
      <c r="F4" s="5" t="s">
        <v>94</v>
      </c>
      <c r="G4" s="5" t="s">
        <v>107</v>
      </c>
      <c r="I4" s="30" t="s">
        <v>130</v>
      </c>
      <c r="J4" s="30"/>
      <c r="K4" s="30"/>
      <c r="L4" s="30"/>
      <c r="M4" s="30"/>
    </row>
    <row r="5" spans="1:13" ht="16.5" thickBot="1" x14ac:dyDescent="0.3">
      <c r="B5" s="5" t="s">
        <v>31</v>
      </c>
      <c r="C5" s="14">
        <v>100</v>
      </c>
      <c r="D5" s="5" t="s">
        <v>131</v>
      </c>
      <c r="E5" s="21" t="s">
        <v>91</v>
      </c>
      <c r="F5" s="5" t="s">
        <v>95</v>
      </c>
      <c r="I5" s="30"/>
      <c r="J5" s="36" t="s">
        <v>99</v>
      </c>
      <c r="K5" s="36"/>
      <c r="L5" s="36"/>
      <c r="M5" s="36"/>
    </row>
    <row r="6" spans="1:13" x14ac:dyDescent="0.25">
      <c r="B6" s="19" t="s">
        <v>52</v>
      </c>
      <c r="C6" s="14">
        <v>20</v>
      </c>
      <c r="D6" s="5" t="s">
        <v>127</v>
      </c>
      <c r="E6" s="21" t="s">
        <v>91</v>
      </c>
      <c r="F6" s="5" t="s">
        <v>95</v>
      </c>
      <c r="I6" s="30"/>
      <c r="J6" s="37" t="s">
        <v>34</v>
      </c>
      <c r="K6" s="38"/>
      <c r="L6" s="37" t="s">
        <v>35</v>
      </c>
      <c r="M6" s="38"/>
    </row>
    <row r="7" spans="1:13" x14ac:dyDescent="0.25">
      <c r="B7" s="5" t="s">
        <v>51</v>
      </c>
      <c r="C7" s="14">
        <v>3</v>
      </c>
      <c r="D7" s="5" t="s">
        <v>135</v>
      </c>
      <c r="E7" s="21" t="s">
        <v>91</v>
      </c>
      <c r="F7" s="5" t="s">
        <v>95</v>
      </c>
      <c r="I7" s="30"/>
      <c r="J7" s="26"/>
      <c r="K7" s="27"/>
      <c r="L7" s="26"/>
      <c r="M7" s="27"/>
    </row>
    <row r="8" spans="1:13" x14ac:dyDescent="0.25">
      <c r="B8" s="24" t="s">
        <v>103</v>
      </c>
      <c r="C8" s="15">
        <f>a_G</f>
        <v>4</v>
      </c>
      <c r="D8" s="5" t="s">
        <v>104</v>
      </c>
      <c r="E8" s="5" t="s">
        <v>105</v>
      </c>
      <c r="F8" s="5" t="s">
        <v>106</v>
      </c>
      <c r="G8" s="5" t="e" cm="1">
        <f t="array" ref="G8">-G</f>
        <v>#NAME?</v>
      </c>
      <c r="I8" s="30"/>
      <c r="J8" s="26"/>
      <c r="K8" s="27"/>
      <c r="L8" s="26"/>
      <c r="M8" s="27"/>
    </row>
    <row r="9" spans="1:13" x14ac:dyDescent="0.25">
      <c r="I9" s="30"/>
      <c r="J9" s="26"/>
      <c r="K9" s="27"/>
      <c r="L9" s="26"/>
      <c r="M9" s="27"/>
    </row>
    <row r="10" spans="1:13" x14ac:dyDescent="0.25">
      <c r="B10" s="23" t="s">
        <v>99</v>
      </c>
      <c r="I10" s="30"/>
      <c r="J10" s="26"/>
      <c r="K10" s="27"/>
      <c r="L10" s="26"/>
      <c r="M10" s="27"/>
    </row>
    <row r="11" spans="1:13" x14ac:dyDescent="0.25">
      <c r="B11" s="5" t="s">
        <v>37</v>
      </c>
      <c r="C11" s="14">
        <v>10</v>
      </c>
      <c r="D11" s="5" t="s">
        <v>132</v>
      </c>
      <c r="E11" s="21" t="s">
        <v>91</v>
      </c>
      <c r="F11" s="5" t="s">
        <v>95</v>
      </c>
      <c r="I11" s="30"/>
      <c r="J11" s="42" t="s">
        <v>130</v>
      </c>
      <c r="K11" s="43"/>
      <c r="L11" s="42" t="s">
        <v>130</v>
      </c>
      <c r="M11" s="43"/>
    </row>
    <row r="12" spans="1:13" ht="16.5" thickBot="1" x14ac:dyDescent="0.3">
      <c r="B12" s="19" t="s">
        <v>38</v>
      </c>
      <c r="C12" s="14">
        <v>3</v>
      </c>
      <c r="D12" s="5" t="s">
        <v>133</v>
      </c>
      <c r="E12" s="21" t="s">
        <v>91</v>
      </c>
      <c r="F12" s="5" t="s">
        <v>95</v>
      </c>
      <c r="I12" s="30"/>
      <c r="J12" s="31" t="s">
        <v>98</v>
      </c>
      <c r="K12" s="32" t="s">
        <v>99</v>
      </c>
      <c r="L12" s="31" t="s">
        <v>98</v>
      </c>
      <c r="M12" s="32" t="s">
        <v>99</v>
      </c>
    </row>
    <row r="13" spans="1:13" x14ac:dyDescent="0.25">
      <c r="B13" s="5" t="s">
        <v>41</v>
      </c>
      <c r="C13" s="14">
        <v>0</v>
      </c>
      <c r="D13" s="5" t="s">
        <v>92</v>
      </c>
      <c r="E13" s="21" t="s">
        <v>91</v>
      </c>
      <c r="F13" s="5" t="s">
        <v>96</v>
      </c>
      <c r="I13" s="28" t="s">
        <v>32</v>
      </c>
      <c r="J13" s="34">
        <f>a_R</f>
        <v>100</v>
      </c>
      <c r="K13" s="35">
        <f>a_I-a_L</f>
        <v>7</v>
      </c>
      <c r="L13" s="34">
        <f>G1_</f>
        <v>35</v>
      </c>
      <c r="M13" s="35">
        <f>G2_</f>
        <v>7.5</v>
      </c>
    </row>
    <row r="14" spans="1:13" ht="16.5" thickBot="1" x14ac:dyDescent="0.3">
      <c r="B14" s="19" t="s">
        <v>42</v>
      </c>
      <c r="C14" s="14">
        <v>3</v>
      </c>
      <c r="D14" s="5" t="s">
        <v>134</v>
      </c>
      <c r="E14" s="21" t="s">
        <v>91</v>
      </c>
      <c r="F14" s="5" t="s">
        <v>95</v>
      </c>
      <c r="I14" s="29" t="s">
        <v>33</v>
      </c>
      <c r="J14" s="29">
        <v>0</v>
      </c>
      <c r="K14" s="33">
        <f>a_I</f>
        <v>10</v>
      </c>
      <c r="L14" s="29">
        <v>0</v>
      </c>
      <c r="M14" s="33">
        <f>a_I-a_Ca*a_alpha</f>
        <v>10</v>
      </c>
    </row>
    <row r="15" spans="1:13" x14ac:dyDescent="0.25">
      <c r="B15" s="19" t="s">
        <v>90</v>
      </c>
      <c r="C15" s="14">
        <v>4</v>
      </c>
      <c r="D15" s="5" t="s">
        <v>88</v>
      </c>
      <c r="E15" s="21" t="s">
        <v>91</v>
      </c>
      <c r="F15" s="5" t="s">
        <v>95</v>
      </c>
      <c r="I15" s="30"/>
      <c r="J15" s="30"/>
      <c r="K15" s="30"/>
      <c r="L15" s="30"/>
      <c r="M15" s="30"/>
    </row>
    <row r="17" spans="2:18" x14ac:dyDescent="0.25">
      <c r="B17" s="23" t="s">
        <v>100</v>
      </c>
    </row>
    <row r="18" spans="2:18" x14ac:dyDescent="0.25">
      <c r="B18" s="5" t="s">
        <v>45</v>
      </c>
      <c r="C18" s="14">
        <v>0.5</v>
      </c>
      <c r="D18" s="5" t="s">
        <v>46</v>
      </c>
      <c r="E18" s="21" t="s">
        <v>91</v>
      </c>
      <c r="F18" s="5" t="s">
        <v>95</v>
      </c>
    </row>
    <row r="19" spans="2:18" ht="16.5" thickBot="1" x14ac:dyDescent="0.3">
      <c r="B19" s="5" t="s">
        <v>58</v>
      </c>
      <c r="C19" s="15">
        <f>1-C18</f>
        <v>0.5</v>
      </c>
      <c r="D19" s="5" t="s">
        <v>59</v>
      </c>
      <c r="E19" s="5" t="s">
        <v>97</v>
      </c>
      <c r="G19" s="5" t="s">
        <v>129</v>
      </c>
      <c r="J19" s="39" t="s">
        <v>53</v>
      </c>
      <c r="K19" s="39"/>
      <c r="L19" s="39"/>
      <c r="M19" s="39"/>
    </row>
    <row r="20" spans="2:18" x14ac:dyDescent="0.25">
      <c r="J20" s="40" t="s">
        <v>34</v>
      </c>
      <c r="K20" s="41"/>
      <c r="L20" s="40" t="s">
        <v>35</v>
      </c>
      <c r="M20" s="41"/>
    </row>
    <row r="21" spans="2:18" x14ac:dyDescent="0.25">
      <c r="J21" s="12"/>
      <c r="K21" s="13"/>
      <c r="L21" s="12"/>
      <c r="M21" s="13"/>
    </row>
    <row r="22" spans="2:18" x14ac:dyDescent="0.25">
      <c r="B22" s="23" t="s">
        <v>108</v>
      </c>
      <c r="J22" s="12" t="s">
        <v>54</v>
      </c>
      <c r="K22" s="13" t="s">
        <v>55</v>
      </c>
      <c r="L22" s="12" t="s">
        <v>54</v>
      </c>
      <c r="M22" s="13" t="s">
        <v>55</v>
      </c>
    </row>
    <row r="23" spans="2:18" x14ac:dyDescent="0.25">
      <c r="B23" s="5" t="s">
        <v>47</v>
      </c>
      <c r="C23" s="15">
        <f>a_R-a_LR-a_Cs-a_G</f>
        <v>73</v>
      </c>
      <c r="D23" s="5" t="s">
        <v>101</v>
      </c>
      <c r="E23" s="5" t="s">
        <v>97</v>
      </c>
      <c r="F23" s="5" t="s">
        <v>115</v>
      </c>
      <c r="G23" s="5" t="s">
        <v>128</v>
      </c>
      <c r="J23" s="12"/>
      <c r="K23" s="13"/>
      <c r="L23" s="12"/>
      <c r="M23" s="13"/>
    </row>
    <row r="24" spans="2:18" ht="16.5" thickBot="1" x14ac:dyDescent="0.3">
      <c r="B24" s="5" t="s">
        <v>48</v>
      </c>
      <c r="C24" s="15">
        <f>-a_Cs</f>
        <v>-3</v>
      </c>
      <c r="D24" s="5" t="s">
        <v>102</v>
      </c>
      <c r="E24" s="5" t="s">
        <v>97</v>
      </c>
      <c r="F24" s="5" t="s">
        <v>115</v>
      </c>
      <c r="G24" s="5" t="s">
        <v>51</v>
      </c>
      <c r="J24" s="12"/>
      <c r="K24" s="13"/>
      <c r="L24" s="12"/>
      <c r="M24" s="13"/>
    </row>
    <row r="25" spans="2:18" x14ac:dyDescent="0.25">
      <c r="B25" s="5" t="s">
        <v>111</v>
      </c>
      <c r="C25" s="15">
        <f>a_P*C23</f>
        <v>36.5</v>
      </c>
      <c r="D25" s="5" t="s">
        <v>113</v>
      </c>
      <c r="E25" s="5" t="s">
        <v>97</v>
      </c>
      <c r="F25" s="5" t="s">
        <v>115</v>
      </c>
      <c r="G25" s="5" t="s">
        <v>118</v>
      </c>
      <c r="I25" s="10" t="s">
        <v>32</v>
      </c>
      <c r="J25" s="6" t="s">
        <v>31</v>
      </c>
      <c r="K25" s="7" t="s">
        <v>60</v>
      </c>
      <c r="L25" s="6" t="s">
        <v>39</v>
      </c>
      <c r="M25" s="7" t="s">
        <v>40</v>
      </c>
    </row>
    <row r="26" spans="2:18" ht="16.5" thickBot="1" x14ac:dyDescent="0.3">
      <c r="B26" s="5" t="s">
        <v>112</v>
      </c>
      <c r="C26" s="15">
        <f>a_P_m1*C24</f>
        <v>-1.5</v>
      </c>
      <c r="D26" s="5" t="s">
        <v>114</v>
      </c>
      <c r="E26" s="5" t="s">
        <v>97</v>
      </c>
      <c r="F26" s="5" t="s">
        <v>115</v>
      </c>
      <c r="G26" s="5" t="s">
        <v>119</v>
      </c>
      <c r="I26" s="8" t="s">
        <v>33</v>
      </c>
      <c r="J26" s="16">
        <v>0</v>
      </c>
      <c r="K26" s="17" t="s">
        <v>37</v>
      </c>
      <c r="L26" s="16">
        <v>0</v>
      </c>
      <c r="M26" s="9" t="s">
        <v>36</v>
      </c>
      <c r="Q26" s="5" t="s">
        <v>67</v>
      </c>
    </row>
    <row r="27" spans="2:18" x14ac:dyDescent="0.25">
      <c r="B27" s="19" t="s">
        <v>39</v>
      </c>
      <c r="C27" s="25">
        <f>SUM(C25:C26)</f>
        <v>35</v>
      </c>
      <c r="D27" s="5" t="s">
        <v>43</v>
      </c>
      <c r="E27" s="5" t="s">
        <v>97</v>
      </c>
      <c r="F27" s="5" t="s">
        <v>95</v>
      </c>
      <c r="J27" s="22"/>
      <c r="K27" s="22"/>
      <c r="L27" s="22"/>
    </row>
    <row r="28" spans="2:18" x14ac:dyDescent="0.25">
      <c r="J28" s="22"/>
      <c r="K28" s="22"/>
      <c r="L28" s="22"/>
    </row>
    <row r="29" spans="2:18" x14ac:dyDescent="0.25">
      <c r="B29" s="23" t="s">
        <v>109</v>
      </c>
      <c r="J29" s="22"/>
      <c r="K29" s="22"/>
      <c r="L29" s="22"/>
    </row>
    <row r="30" spans="2:18" x14ac:dyDescent="0.25">
      <c r="B30" s="5" t="s">
        <v>49</v>
      </c>
      <c r="C30" s="15">
        <f>(a_I-a_Ca)</f>
        <v>7</v>
      </c>
      <c r="D30" s="5" t="s">
        <v>110</v>
      </c>
      <c r="E30" s="5" t="s">
        <v>97</v>
      </c>
      <c r="F30" s="5" t="s">
        <v>115</v>
      </c>
      <c r="G30" s="5" t="s">
        <v>122</v>
      </c>
      <c r="Q30" s="5">
        <v>1</v>
      </c>
      <c r="R30" s="5">
        <v>2</v>
      </c>
    </row>
    <row r="31" spans="2:18" x14ac:dyDescent="0.25">
      <c r="B31" s="5" t="s">
        <v>50</v>
      </c>
      <c r="C31" s="15">
        <f>a_I-a_L+a_G-a_Ca</f>
        <v>8</v>
      </c>
      <c r="D31" s="5" t="s">
        <v>124</v>
      </c>
      <c r="E31" s="5" t="s">
        <v>97</v>
      </c>
      <c r="F31" s="5" t="s">
        <v>115</v>
      </c>
      <c r="G31" s="5" t="s">
        <v>123</v>
      </c>
      <c r="Q31" s="5">
        <v>3</v>
      </c>
      <c r="R31" s="5">
        <v>4</v>
      </c>
    </row>
    <row r="32" spans="2:18" x14ac:dyDescent="0.25">
      <c r="B32" s="5" t="s">
        <v>116</v>
      </c>
      <c r="C32" s="15">
        <f>a_P_m1*C30</f>
        <v>3.5</v>
      </c>
      <c r="D32" s="5" t="s">
        <v>125</v>
      </c>
      <c r="E32" s="5" t="s">
        <v>97</v>
      </c>
      <c r="F32" s="5" t="s">
        <v>115</v>
      </c>
      <c r="G32" s="5" t="s">
        <v>120</v>
      </c>
    </row>
    <row r="33" spans="2:20" x14ac:dyDescent="0.25">
      <c r="B33" s="5" t="s">
        <v>117</v>
      </c>
      <c r="C33" s="15">
        <f>a_P*C31</f>
        <v>4</v>
      </c>
      <c r="D33" s="5" t="s">
        <v>126</v>
      </c>
      <c r="E33" s="5" t="s">
        <v>97</v>
      </c>
      <c r="F33" s="5" t="s">
        <v>115</v>
      </c>
      <c r="G33" s="5" t="s">
        <v>121</v>
      </c>
    </row>
    <row r="34" spans="2:20" x14ac:dyDescent="0.25">
      <c r="B34" s="19" t="s">
        <v>40</v>
      </c>
      <c r="C34" s="25">
        <f>SUM(C32:C33)</f>
        <v>7.5</v>
      </c>
      <c r="D34" s="5" t="s">
        <v>44</v>
      </c>
      <c r="E34" s="5" t="s">
        <v>97</v>
      </c>
      <c r="F34" s="5" t="s">
        <v>95</v>
      </c>
    </row>
    <row r="36" spans="2:20" x14ac:dyDescent="0.25">
      <c r="I36" s="5" t="s">
        <v>61</v>
      </c>
    </row>
    <row r="37" spans="2:20" ht="16.5" thickBot="1" x14ac:dyDescent="0.3">
      <c r="J37" s="39" t="s">
        <v>53</v>
      </c>
      <c r="K37" s="39"/>
      <c r="L37" s="39"/>
      <c r="M37" s="39"/>
    </row>
    <row r="38" spans="2:20" x14ac:dyDescent="0.25">
      <c r="B38" s="5" t="s">
        <v>71</v>
      </c>
      <c r="J38" s="40" t="s">
        <v>34</v>
      </c>
      <c r="K38" s="41"/>
      <c r="L38" s="40" t="s">
        <v>35</v>
      </c>
      <c r="M38" s="41"/>
      <c r="P38" s="5">
        <v>1</v>
      </c>
      <c r="Q38" s="5">
        <f>SUM(J40:K40)</f>
        <v>107</v>
      </c>
      <c r="R38" s="5">
        <f>RANK(Q38,$Q$38:$Q$41)</f>
        <v>1</v>
      </c>
    </row>
    <row r="39" spans="2:20" ht="16.5" thickBot="1" x14ac:dyDescent="0.3">
      <c r="B39" s="5" t="s">
        <v>68</v>
      </c>
      <c r="C39" s="5" t="b">
        <f>IF(a_R&gt;=0,TRUE,FALSE)</f>
        <v>1</v>
      </c>
      <c r="D39" s="5" t="s">
        <v>70</v>
      </c>
      <c r="E39" s="5" t="s">
        <v>136</v>
      </c>
      <c r="J39" s="12" t="s">
        <v>54</v>
      </c>
      <c r="K39" s="13" t="s">
        <v>55</v>
      </c>
      <c r="L39" s="12" t="s">
        <v>54</v>
      </c>
      <c r="M39" s="13" t="s">
        <v>55</v>
      </c>
      <c r="P39" s="5">
        <v>2</v>
      </c>
      <c r="Q39" s="5">
        <f>SUM(L40:M40)</f>
        <v>50</v>
      </c>
      <c r="R39" s="5">
        <f t="shared" ref="R39:R41" si="0">RANK(Q39,$Q$38:$Q$41)</f>
        <v>2</v>
      </c>
    </row>
    <row r="40" spans="2:20" x14ac:dyDescent="0.25">
      <c r="B40" s="5" t="s">
        <v>69</v>
      </c>
      <c r="C40" s="5" t="b">
        <f>(2*a_Ca)&gt;=(a_LR+a_L)</f>
        <v>0</v>
      </c>
      <c r="D40" s="5" t="s">
        <v>76</v>
      </c>
      <c r="E40" s="5" t="s">
        <v>136</v>
      </c>
      <c r="I40" s="10" t="s">
        <v>32</v>
      </c>
      <c r="J40" s="10">
        <f>$C$5</f>
        <v>100</v>
      </c>
      <c r="K40" s="11">
        <f>$C$11-$C$12</f>
        <v>7</v>
      </c>
      <c r="L40" s="10">
        <f>$C$25+$C$26</f>
        <v>35</v>
      </c>
      <c r="M40" s="11">
        <f>$C$30+$C$31</f>
        <v>15</v>
      </c>
      <c r="P40" s="5">
        <v>3</v>
      </c>
      <c r="Q40" s="5">
        <f>SUM(J41:K41)</f>
        <v>10</v>
      </c>
      <c r="R40" s="5">
        <f t="shared" si="0"/>
        <v>3</v>
      </c>
    </row>
    <row r="41" spans="2:20" ht="16.5" thickBot="1" x14ac:dyDescent="0.3">
      <c r="I41" s="8" t="s">
        <v>33</v>
      </c>
      <c r="J41" s="8">
        <v>0</v>
      </c>
      <c r="K41" s="9">
        <f>a_I</f>
        <v>10</v>
      </c>
      <c r="L41" s="8">
        <v>0</v>
      </c>
      <c r="M41" s="9">
        <f>$C$11-$C$13*$C$14</f>
        <v>10</v>
      </c>
      <c r="P41" s="5">
        <v>4</v>
      </c>
      <c r="Q41" s="5">
        <f>SUM(L41:M41)</f>
        <v>10</v>
      </c>
      <c r="R41" s="5">
        <f t="shared" si="0"/>
        <v>3</v>
      </c>
    </row>
    <row r="42" spans="2:20" x14ac:dyDescent="0.25">
      <c r="B42" s="5" t="s">
        <v>72</v>
      </c>
    </row>
    <row r="43" spans="2:20" x14ac:dyDescent="0.25">
      <c r="B43" s="5" t="s">
        <v>73</v>
      </c>
      <c r="C43" s="5" t="b">
        <f>(a_R-a_LR)&gt;(2*a_Cs)</f>
        <v>1</v>
      </c>
      <c r="D43" s="5" t="s">
        <v>75</v>
      </c>
      <c r="E43" s="5" t="s">
        <v>136</v>
      </c>
      <c r="I43" s="5" t="s">
        <v>62</v>
      </c>
    </row>
    <row r="44" spans="2:20" ht="16.5" thickBot="1" x14ac:dyDescent="0.3">
      <c r="B44" s="5" t="s">
        <v>74</v>
      </c>
      <c r="C44" s="5" t="b">
        <f>(2*a_Ca)&lt;=(a_L+a_LR)</f>
        <v>1</v>
      </c>
      <c r="D44" s="5" t="s">
        <v>77</v>
      </c>
      <c r="E44" s="5" t="s">
        <v>136</v>
      </c>
      <c r="J44" s="39" t="s">
        <v>53</v>
      </c>
      <c r="K44" s="39"/>
      <c r="L44" s="39"/>
      <c r="M44" s="39"/>
      <c r="P44" s="5" t="s">
        <v>64</v>
      </c>
      <c r="Q44" s="5" t="s">
        <v>63</v>
      </c>
      <c r="R44" s="5" t="s">
        <v>65</v>
      </c>
      <c r="S44" s="5" t="s">
        <v>66</v>
      </c>
    </row>
    <row r="45" spans="2:20" x14ac:dyDescent="0.25">
      <c r="J45" s="40" t="s">
        <v>34</v>
      </c>
      <c r="K45" s="41"/>
      <c r="L45" s="40" t="s">
        <v>35</v>
      </c>
      <c r="M45" s="41"/>
      <c r="P45" s="5">
        <v>1</v>
      </c>
      <c r="Q45" s="5">
        <f>IF(AND(J47&gt;=Q46,L47&gt;=L48),1,0)</f>
        <v>1</v>
      </c>
      <c r="R45" s="5">
        <f>IF(AND(K47&gt;=M47,K48&gt;=M48),1,0)</f>
        <v>0</v>
      </c>
      <c r="S45" s="5">
        <v>1</v>
      </c>
      <c r="T45" s="5">
        <f>IF(AND(R45,Q45),1,0)</f>
        <v>0</v>
      </c>
    </row>
    <row r="46" spans="2:20" ht="16.5" thickBot="1" x14ac:dyDescent="0.3">
      <c r="J46" s="12" t="s">
        <v>54</v>
      </c>
      <c r="K46" s="13" t="s">
        <v>55</v>
      </c>
      <c r="L46" s="12" t="s">
        <v>54</v>
      </c>
      <c r="M46" s="13" t="s">
        <v>55</v>
      </c>
      <c r="P46" s="5">
        <v>2</v>
      </c>
      <c r="Q46" s="5">
        <f>IF(AND(J48&gt;=J47,L48&gt;=L47),1,0)</f>
        <v>0</v>
      </c>
      <c r="R46" s="5">
        <f>IF(AND(M47&gt;=K47,M48&gt;=K48),1,0)</f>
        <v>1</v>
      </c>
      <c r="S46" s="5">
        <v>2</v>
      </c>
      <c r="T46" s="5">
        <f>IF(AND(Q45,R46),1,0)</f>
        <v>1</v>
      </c>
    </row>
    <row r="47" spans="2:20" x14ac:dyDescent="0.25">
      <c r="I47" s="10" t="s">
        <v>32</v>
      </c>
      <c r="J47" s="10">
        <f>$C$5</f>
        <v>100</v>
      </c>
      <c r="K47" s="11">
        <f>$C$11-$C$12</f>
        <v>7</v>
      </c>
      <c r="L47" s="10">
        <f>$C$25+$C$26</f>
        <v>35</v>
      </c>
      <c r="M47" s="11">
        <f>$C$30+$C$31</f>
        <v>15</v>
      </c>
      <c r="S47" s="5">
        <v>3</v>
      </c>
      <c r="T47" s="5">
        <f>IF(AND(Q46,R45),1,0)</f>
        <v>0</v>
      </c>
    </row>
    <row r="48" spans="2:20" ht="16.5" thickBot="1" x14ac:dyDescent="0.3">
      <c r="I48" s="8" t="s">
        <v>33</v>
      </c>
      <c r="J48" s="8">
        <v>0</v>
      </c>
      <c r="K48" s="9">
        <f>a_I</f>
        <v>10</v>
      </c>
      <c r="L48" s="8">
        <v>0</v>
      </c>
      <c r="M48" s="9">
        <f>$C$11-$C$13*$C$14</f>
        <v>10</v>
      </c>
      <c r="S48" s="5">
        <v>4</v>
      </c>
      <c r="T48" s="5">
        <f>IF(AND(Q46,R46),1,0)</f>
        <v>0</v>
      </c>
    </row>
  </sheetData>
  <mergeCells count="14">
    <mergeCell ref="J45:K45"/>
    <mergeCell ref="L45:M45"/>
    <mergeCell ref="J37:M37"/>
    <mergeCell ref="J38:K38"/>
    <mergeCell ref="L38:M38"/>
    <mergeCell ref="J44:M44"/>
    <mergeCell ref="J5:M5"/>
    <mergeCell ref="J6:K6"/>
    <mergeCell ref="L6:M6"/>
    <mergeCell ref="J19:M19"/>
    <mergeCell ref="J20:K20"/>
    <mergeCell ref="L20:M20"/>
    <mergeCell ref="J11:K11"/>
    <mergeCell ref="L11:M11"/>
  </mergeCells>
  <conditionalFormatting sqref="J41">
    <cfRule type="expression" dxfId="7" priority="6">
      <formula>$R$40=1</formula>
    </cfRule>
  </conditionalFormatting>
  <conditionalFormatting sqref="J48">
    <cfRule type="expression" dxfId="6" priority="2">
      <formula>$T$47</formula>
    </cfRule>
  </conditionalFormatting>
  <conditionalFormatting sqref="J40:K40">
    <cfRule type="expression" dxfId="5" priority="8">
      <formula>$R$38=1</formula>
    </cfRule>
  </conditionalFormatting>
  <conditionalFormatting sqref="J47:K47">
    <cfRule type="expression" dxfId="4" priority="4">
      <formula>$T$45=1</formula>
    </cfRule>
  </conditionalFormatting>
  <conditionalFormatting sqref="L40:M40">
    <cfRule type="expression" dxfId="3" priority="7">
      <formula>$R$39=1</formula>
    </cfRule>
  </conditionalFormatting>
  <conditionalFormatting sqref="L41:M41">
    <cfRule type="expression" dxfId="2" priority="5">
      <formula>$R$41=1</formula>
    </cfRule>
  </conditionalFormatting>
  <conditionalFormatting sqref="L47:M47">
    <cfRule type="expression" dxfId="1" priority="3">
      <formula>$T$46=1</formula>
    </cfRule>
  </conditionalFormatting>
  <conditionalFormatting sqref="L48:M48">
    <cfRule type="expression" dxfId="0" priority="1">
      <formula>$T$48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12</vt:i4>
      </vt:variant>
    </vt:vector>
  </HeadingPairs>
  <TitlesOfParts>
    <vt:vector size="14" baseType="lpstr">
      <vt:lpstr>Dados Peniche</vt:lpstr>
      <vt:lpstr>Problema de Decisão Abstrato</vt:lpstr>
      <vt:lpstr>a_alpha</vt:lpstr>
      <vt:lpstr>a_Ca</vt:lpstr>
      <vt:lpstr>a_Cs</vt:lpstr>
      <vt:lpstr>a_G</vt:lpstr>
      <vt:lpstr>a_I</vt:lpstr>
      <vt:lpstr>a_L</vt:lpstr>
      <vt:lpstr>a_LR</vt:lpstr>
      <vt:lpstr>a_P</vt:lpstr>
      <vt:lpstr>a_P_m1</vt:lpstr>
      <vt:lpstr>a_R</vt:lpstr>
      <vt:lpstr>G1_</vt:lpstr>
      <vt:lpstr>G2_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Geraldo Xexéo</dc:creator>
  <cp:lastModifiedBy>Geraldo Xexéo</cp:lastModifiedBy>
  <dcterms:created xsi:type="dcterms:W3CDTF">2024-02-07T17:12:59Z</dcterms:created>
  <dcterms:modified xsi:type="dcterms:W3CDTF">2024-05-06T20:17:10Z</dcterms:modified>
</cp:coreProperties>
</file>